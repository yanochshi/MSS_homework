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citilink\Desktop\СГАУ\3 КУРС\МСС\домашки\"/>
    </mc:Choice>
  </mc:AlternateContent>
  <xr:revisionPtr revIDLastSave="0" documentId="13_ncr:1_{BBB3DF97-E432-4B0E-AD38-8F50E1AC2F4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ГУ 1 рода 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C5" i="1"/>
  <c r="G15" i="1" s="1"/>
  <c r="S12" i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G12" i="1"/>
  <c r="C4" i="1"/>
  <c r="X16" i="1"/>
  <c r="I16" i="1"/>
  <c r="AH16" i="1"/>
  <c r="Z16" i="1"/>
  <c r="K16" i="1"/>
  <c r="Y16" i="1"/>
  <c r="AG16" i="1"/>
  <c r="J16" i="1"/>
  <c r="M16" i="1"/>
  <c r="AB16" i="1"/>
  <c r="U16" i="1"/>
  <c r="AJ16" i="1"/>
  <c r="F16" i="1"/>
  <c r="V16" i="1"/>
  <c r="T16" i="1"/>
  <c r="G16" i="1"/>
  <c r="H16" i="1"/>
  <c r="R16" i="1"/>
  <c r="O16" i="1"/>
  <c r="Q16" i="1"/>
  <c r="AC16" i="1"/>
  <c r="AE16" i="1"/>
  <c r="S16" i="1"/>
  <c r="W16" i="1"/>
  <c r="P16" i="1"/>
  <c r="AI16" i="1"/>
  <c r="AA16" i="1"/>
  <c r="AF16" i="1"/>
  <c r="AD16" i="1"/>
  <c r="N16" i="1"/>
  <c r="L16" i="1"/>
</calcChain>
</file>

<file path=xl/sharedStrings.xml><?xml version="1.0" encoding="utf-8"?>
<sst xmlns="http://schemas.openxmlformats.org/spreadsheetml/2006/main" count="13" uniqueCount="12">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</sst>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top"/>
    </xf>
    <xf numFmtId="1" fontId="0" fillId="0" borderId="0" xfId="0" applyNumberFormat="1"/>
    <xf numFmtId="1" fontId="0" fillId="0" borderId="0" xfId="0" applyNumberFormat="1" applyAlignment="1">
      <alignment horizontal="center" vertical="top"/>
    </xf>
    <xf numFmtId="165" fontId="0" fillId="0" borderId="0" xfId="0" applyNumberFormat="1" applyAlignment="1">
      <alignment horizontal="center" vertical="top"/>
    </xf>
    <xf numFmtId="0" fontId="0" fillId="0" borderId="1" xfId="0" applyBorder="1" applyAlignment="1">
      <alignment horizontal="center" vertical="top"/>
    </xf>
    <xf numFmtId="164" fontId="0" fillId="0" borderId="1" xfId="0" applyNumberFormat="1" applyBorder="1" applyAlignment="1">
      <alignment horizontal="center" vertical="top"/>
    </xf>
    <xf numFmtId="1" fontId="0" fillId="0" borderId="1" xfId="0" applyNumberFormat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1" fontId="0" fillId="0" borderId="0" xfId="0" applyNumberFormat="1" applyBorder="1" applyAlignment="1">
      <alignment horizontal="center" vertical="top"/>
    </xf>
    <xf numFmtId="165" fontId="0" fillId="0" borderId="1" xfId="0" applyNumberFormat="1" applyBorder="1" applyAlignment="1">
      <alignment horizontal="center" vertical="top"/>
    </xf>
    <xf numFmtId="1" fontId="0" fillId="0" borderId="0" xfId="0" applyNumberFormat="1" applyFill="1" applyBorder="1" applyAlignment="1">
      <alignment horizontal="center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24332283146947"/>
          <c:y val="3.3498890320128635E-2"/>
          <c:w val="0.8233320999331295"/>
          <c:h val="0.88954289114780094"/>
        </c:manualLayout>
      </c:layout>
      <c:scatterChart>
        <c:scatterStyle val="smoothMarker"/>
        <c:varyColors val="0"/>
        <c:ser>
          <c:idx val="0"/>
          <c:order val="0"/>
          <c:spPr>
            <a:ln w="539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'ГУ 1 рода 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 рода '!$F$13:$AJ$13</c:f>
              <c:numCache>
                <c:formatCode>0</c:formatCode>
                <c:ptCount val="31"/>
                <c:pt idx="0">
                  <c:v>300</c:v>
                </c:pt>
                <c:pt idx="1">
                  <c:v>150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50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5B-465A-8877-A568837BB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4139024"/>
        <c:axId val="1584140272"/>
      </c:scatterChart>
      <c:valAx>
        <c:axId val="158413902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4140272"/>
        <c:crossesAt val="0"/>
        <c:crossBetween val="midCat"/>
      </c:valAx>
      <c:valAx>
        <c:axId val="15841402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413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566057</xdr:colOff>
      <xdr:row>21</xdr:row>
      <xdr:rowOff>163285</xdr:rowOff>
    </xdr:from>
    <xdr:to>
      <xdr:col>13</xdr:col>
      <xdr:colOff>566057</xdr:colOff>
      <xdr:row>45</xdr:row>
      <xdr:rowOff>163285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AF847F4-C675-49F3-A5CD-707228380F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424542</xdr:colOff>
      <xdr:row>22</xdr:row>
      <xdr:rowOff>10886</xdr:rowOff>
    </xdr:from>
    <xdr:ext cx="957943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B1E84B1-DAC9-4D3A-92A1-BC4A9DCB5B39}"/>
                </a:ext>
              </a:extLst>
            </xdr:cNvPr>
            <xdr:cNvSpPr txBox="1"/>
          </xdr:nvSpPr>
          <xdr:spPr>
            <a:xfrm>
              <a:off x="3472542" y="4082143"/>
              <a:ext cx="957943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0">
                        <a:latin typeface="Cambria Math" panose="02040503050406030204" pitchFamily="18" charset="0"/>
                      </a:rPr>
                      <m:t>𝐓</m:t>
                    </m:r>
                    <m:r>
                      <a:rPr lang="en-US" sz="1400" b="1" i="0">
                        <a:latin typeface="Cambria Math" panose="02040503050406030204" pitchFamily="18" charset="0"/>
                      </a:rPr>
                      <m:t>,[℃]</m:t>
                    </m:r>
                  </m:oMath>
                </m:oMathPara>
              </a14:m>
              <a:endParaRPr lang="ru-RU" sz="1400" b="1" i="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B1E84B1-DAC9-4D3A-92A1-BC4A9DCB5B39}"/>
                </a:ext>
              </a:extLst>
            </xdr:cNvPr>
            <xdr:cNvSpPr txBox="1"/>
          </xdr:nvSpPr>
          <xdr:spPr>
            <a:xfrm>
              <a:off x="3472542" y="4082143"/>
              <a:ext cx="957943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𝐓,[℃]</a:t>
              </a:r>
              <a:endParaRPr lang="ru-RU" sz="1400" b="1" i="0"/>
            </a:p>
          </xdr:txBody>
        </xdr:sp>
      </mc:Fallback>
    </mc:AlternateContent>
    <xdr:clientData/>
  </xdr:oneCellAnchor>
  <xdr:oneCellAnchor>
    <xdr:from>
      <xdr:col>12</xdr:col>
      <xdr:colOff>359229</xdr:colOff>
      <xdr:row>44</xdr:row>
      <xdr:rowOff>54429</xdr:rowOff>
    </xdr:from>
    <xdr:ext cx="957943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4858382-AD48-4EA5-A8CC-1963B3B1F5C7}"/>
                </a:ext>
              </a:extLst>
            </xdr:cNvPr>
            <xdr:cNvSpPr txBox="1"/>
          </xdr:nvSpPr>
          <xdr:spPr>
            <a:xfrm>
              <a:off x="7598229" y="8196943"/>
              <a:ext cx="957943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0">
                        <a:latin typeface="Cambria Math" panose="02040503050406030204" pitchFamily="18" charset="0"/>
                      </a:rPr>
                      <m:t>𝐋</m:t>
                    </m:r>
                    <m:r>
                      <a:rPr lang="en-US" sz="1400" b="1" i="0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𝐦</m:t>
                    </m:r>
                    <m:r>
                      <a:rPr lang="en-US" sz="1400" b="1" i="0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 i="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4858382-AD48-4EA5-A8CC-1963B3B1F5C7}"/>
                </a:ext>
              </a:extLst>
            </xdr:cNvPr>
            <xdr:cNvSpPr txBox="1"/>
          </xdr:nvSpPr>
          <xdr:spPr>
            <a:xfrm>
              <a:off x="7598229" y="8196943"/>
              <a:ext cx="957943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𝐋,[</a:t>
              </a:r>
              <a:r>
                <a:rPr lang="en-US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𝐦</a:t>
              </a:r>
              <a:r>
                <a:rPr lang="en-US" sz="1400" b="1" i="0">
                  <a:latin typeface="Cambria Math" panose="02040503050406030204" pitchFamily="18" charset="0"/>
                </a:rPr>
                <a:t>]</a:t>
              </a:r>
              <a:endParaRPr lang="ru-RU" sz="1400" b="1" i="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L16"/>
  <sheetViews>
    <sheetView tabSelected="1" zoomScale="70" zoomScaleNormal="70" workbookViewId="0">
      <selection activeCell="F16" sqref="F16"/>
    </sheetView>
  </sheetViews>
  <sheetFormatPr defaultRowHeight="14.4" x14ac:dyDescent="0.3"/>
  <cols>
    <col min="6" max="36" width="8.77734375" customWidth="1"/>
  </cols>
  <sheetData>
    <row r="3" spans="2:38" x14ac:dyDescent="0.3">
      <c r="B3" s="5" t="s">
        <v>0</v>
      </c>
      <c r="C3" s="5">
        <v>0.1</v>
      </c>
    </row>
    <row r="4" spans="2:38" x14ac:dyDescent="0.3">
      <c r="B4" s="5" t="s">
        <v>1</v>
      </c>
      <c r="C4" s="6">
        <f>C3/30</f>
        <v>3.3333333333333335E-3</v>
      </c>
    </row>
    <row r="5" spans="2:38" x14ac:dyDescent="0.3">
      <c r="B5" s="5" t="s">
        <v>2</v>
      </c>
      <c r="C5" s="6">
        <f>(C9*C8*C4^2)/(2*C10)</f>
        <v>0.4333333333333334</v>
      </c>
    </row>
    <row r="6" spans="2:38" x14ac:dyDescent="0.3">
      <c r="B6" s="5" t="s">
        <v>3</v>
      </c>
      <c r="C6" s="5">
        <v>60</v>
      </c>
    </row>
    <row r="7" spans="2:38" x14ac:dyDescent="0.3">
      <c r="B7" s="8"/>
      <c r="C7" s="8"/>
    </row>
    <row r="8" spans="2:38" x14ac:dyDescent="0.3">
      <c r="B8" s="5" t="s">
        <v>4</v>
      </c>
      <c r="C8" s="5">
        <v>460</v>
      </c>
    </row>
    <row r="9" spans="2:38" x14ac:dyDescent="0.3">
      <c r="B9" s="5" t="s">
        <v>5</v>
      </c>
      <c r="C9" s="5">
        <v>7800</v>
      </c>
    </row>
    <row r="10" spans="2:38" x14ac:dyDescent="0.3">
      <c r="B10" s="5" t="s">
        <v>6</v>
      </c>
      <c r="C10" s="5">
        <v>46</v>
      </c>
    </row>
    <row r="11" spans="2:38" s="2" customFormat="1" x14ac:dyDescent="0.3">
      <c r="B11" s="9"/>
      <c r="C11" s="9"/>
      <c r="E11" s="3"/>
      <c r="F11" s="7">
        <v>1</v>
      </c>
      <c r="G11" s="7">
        <v>2</v>
      </c>
      <c r="H11" s="7">
        <v>3</v>
      </c>
      <c r="I11" s="7">
        <v>4</v>
      </c>
      <c r="J11" s="7">
        <v>5</v>
      </c>
      <c r="K11" s="7">
        <v>6</v>
      </c>
      <c r="L11" s="7">
        <v>7</v>
      </c>
      <c r="M11" s="7">
        <v>8</v>
      </c>
      <c r="N11" s="7">
        <v>9</v>
      </c>
      <c r="O11" s="7">
        <v>10</v>
      </c>
      <c r="P11" s="7">
        <v>11</v>
      </c>
      <c r="Q11" s="7">
        <v>12</v>
      </c>
      <c r="R11" s="7">
        <v>13</v>
      </c>
      <c r="S11" s="7">
        <v>14</v>
      </c>
      <c r="T11" s="7">
        <v>15</v>
      </c>
      <c r="U11" s="7">
        <v>16</v>
      </c>
      <c r="V11" s="7">
        <v>17</v>
      </c>
      <c r="W11" s="7">
        <v>18</v>
      </c>
      <c r="X11" s="7">
        <v>19</v>
      </c>
      <c r="Y11" s="7">
        <v>20</v>
      </c>
      <c r="Z11" s="7">
        <v>21</v>
      </c>
      <c r="AA11" s="7">
        <v>22</v>
      </c>
      <c r="AB11" s="7">
        <v>23</v>
      </c>
      <c r="AC11" s="7">
        <v>24</v>
      </c>
      <c r="AD11" s="7">
        <v>25</v>
      </c>
      <c r="AE11" s="7">
        <v>26</v>
      </c>
      <c r="AF11" s="7">
        <v>27</v>
      </c>
      <c r="AG11" s="7">
        <v>28</v>
      </c>
      <c r="AH11" s="7">
        <v>29</v>
      </c>
      <c r="AI11" s="7">
        <v>30</v>
      </c>
      <c r="AJ11" s="7">
        <v>31</v>
      </c>
      <c r="AK11" s="3"/>
      <c r="AL11" s="3"/>
    </row>
    <row r="12" spans="2:38" x14ac:dyDescent="0.3">
      <c r="B12" s="5" t="s">
        <v>8</v>
      </c>
      <c r="C12" s="5">
        <v>300</v>
      </c>
      <c r="E12" s="3" t="s">
        <v>0</v>
      </c>
      <c r="F12" s="10">
        <v>0</v>
      </c>
      <c r="G12" s="10">
        <f>F12+$C$4</f>
        <v>3.3333333333333335E-3</v>
      </c>
      <c r="H12" s="10">
        <f t="shared" ref="H12:AJ12" si="0">G12+$C$4</f>
        <v>6.6666666666666671E-3</v>
      </c>
      <c r="I12" s="10">
        <f t="shared" si="0"/>
        <v>0.01</v>
      </c>
      <c r="J12" s="10">
        <f t="shared" si="0"/>
        <v>1.3333333333333334E-2</v>
      </c>
      <c r="K12" s="10">
        <f t="shared" si="0"/>
        <v>1.6666666666666666E-2</v>
      </c>
      <c r="L12" s="10">
        <f t="shared" si="0"/>
        <v>0.02</v>
      </c>
      <c r="M12" s="10">
        <f t="shared" si="0"/>
        <v>2.3333333333333334E-2</v>
      </c>
      <c r="N12" s="10">
        <f t="shared" si="0"/>
        <v>2.6666666666666668E-2</v>
      </c>
      <c r="O12" s="10">
        <f t="shared" si="0"/>
        <v>3.0000000000000002E-2</v>
      </c>
      <c r="P12" s="10">
        <f t="shared" si="0"/>
        <v>3.3333333333333333E-2</v>
      </c>
      <c r="Q12" s="10">
        <f t="shared" si="0"/>
        <v>3.6666666666666667E-2</v>
      </c>
      <c r="R12" s="10">
        <f t="shared" si="0"/>
        <v>0.04</v>
      </c>
      <c r="S12" s="10">
        <f t="shared" si="0"/>
        <v>4.3333333333333335E-2</v>
      </c>
      <c r="T12" s="10">
        <f t="shared" si="0"/>
        <v>4.6666666666666669E-2</v>
      </c>
      <c r="U12" s="10">
        <f t="shared" si="0"/>
        <v>0.05</v>
      </c>
      <c r="V12" s="10">
        <f t="shared" si="0"/>
        <v>5.3333333333333337E-2</v>
      </c>
      <c r="W12" s="10">
        <f t="shared" si="0"/>
        <v>5.6666666666666671E-2</v>
      </c>
      <c r="X12" s="10">
        <f t="shared" si="0"/>
        <v>6.0000000000000005E-2</v>
      </c>
      <c r="Y12" s="10">
        <f t="shared" si="0"/>
        <v>6.3333333333333339E-2</v>
      </c>
      <c r="Z12" s="10">
        <f t="shared" si="0"/>
        <v>6.6666666666666666E-2</v>
      </c>
      <c r="AA12" s="10">
        <f t="shared" si="0"/>
        <v>6.9999999999999993E-2</v>
      </c>
      <c r="AB12" s="10">
        <f t="shared" si="0"/>
        <v>7.333333333333332E-2</v>
      </c>
      <c r="AC12" s="10">
        <f t="shared" si="0"/>
        <v>7.6666666666666647E-2</v>
      </c>
      <c r="AD12" s="10">
        <f t="shared" si="0"/>
        <v>7.9999999999999974E-2</v>
      </c>
      <c r="AE12" s="10">
        <f t="shared" si="0"/>
        <v>8.3333333333333301E-2</v>
      </c>
      <c r="AF12" s="10">
        <f t="shared" si="0"/>
        <v>8.6666666666666628E-2</v>
      </c>
      <c r="AG12" s="10">
        <f t="shared" si="0"/>
        <v>8.9999999999999955E-2</v>
      </c>
      <c r="AH12" s="10">
        <f t="shared" si="0"/>
        <v>9.3333333333333282E-2</v>
      </c>
      <c r="AI12" s="10">
        <f t="shared" si="0"/>
        <v>9.6666666666666609E-2</v>
      </c>
      <c r="AJ12" s="10">
        <f t="shared" si="0"/>
        <v>9.9999999999999936E-2</v>
      </c>
      <c r="AK12" s="4"/>
      <c r="AL12" s="4"/>
    </row>
    <row r="13" spans="2:38" s="2" customFormat="1" x14ac:dyDescent="0.3">
      <c r="B13" s="7" t="s">
        <v>9</v>
      </c>
      <c r="C13" s="7">
        <v>100</v>
      </c>
      <c r="E13" s="3" t="s">
        <v>7</v>
      </c>
      <c r="F13" s="3">
        <v>300</v>
      </c>
      <c r="G13" s="3">
        <v>150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50</v>
      </c>
      <c r="AJ13" s="3">
        <v>100</v>
      </c>
      <c r="AK13" s="3"/>
      <c r="AL13" s="3"/>
    </row>
    <row r="14" spans="2:38" x14ac:dyDescent="0.3">
      <c r="B14" s="5"/>
      <c r="C14" s="5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</row>
    <row r="15" spans="2:38" x14ac:dyDescent="0.3">
      <c r="E15" t="s">
        <v>10</v>
      </c>
      <c r="G15">
        <f>G13+(($C$10*$C$5)/($C$9*$C$8))*((H13-2*G13+F13)/($C$4^2))</f>
        <v>150</v>
      </c>
      <c r="H15">
        <f t="shared" ref="H15:AI15" si="1">H13+(($C$10*$C$5)/($C$9*$C$8))*((I13-2*H13+G13)/($C$4^2))</f>
        <v>75</v>
      </c>
      <c r="I15">
        <f t="shared" si="1"/>
        <v>0</v>
      </c>
      <c r="J15">
        <f t="shared" si="1"/>
        <v>0</v>
      </c>
      <c r="K15">
        <f t="shared" si="1"/>
        <v>0</v>
      </c>
      <c r="L15">
        <f t="shared" si="1"/>
        <v>0</v>
      </c>
      <c r="M15">
        <f t="shared" si="1"/>
        <v>0</v>
      </c>
      <c r="N15">
        <f t="shared" si="1"/>
        <v>0</v>
      </c>
      <c r="O15">
        <f t="shared" si="1"/>
        <v>0</v>
      </c>
      <c r="P15">
        <f t="shared" si="1"/>
        <v>0</v>
      </c>
      <c r="Q15">
        <f t="shared" si="1"/>
        <v>0</v>
      </c>
      <c r="R15">
        <f t="shared" si="1"/>
        <v>0</v>
      </c>
      <c r="S15">
        <f t="shared" si="1"/>
        <v>0</v>
      </c>
      <c r="T15">
        <f t="shared" si="1"/>
        <v>0</v>
      </c>
      <c r="U15">
        <f t="shared" si="1"/>
        <v>0</v>
      </c>
      <c r="V15">
        <f t="shared" si="1"/>
        <v>0</v>
      </c>
      <c r="W15">
        <f t="shared" si="1"/>
        <v>0</v>
      </c>
      <c r="X15">
        <f t="shared" si="1"/>
        <v>0</v>
      </c>
      <c r="Y15">
        <f t="shared" si="1"/>
        <v>0</v>
      </c>
      <c r="Z15">
        <f t="shared" si="1"/>
        <v>0</v>
      </c>
      <c r="AA15">
        <f t="shared" si="1"/>
        <v>0</v>
      </c>
      <c r="AB15">
        <f t="shared" si="1"/>
        <v>0</v>
      </c>
      <c r="AC15">
        <f t="shared" si="1"/>
        <v>0</v>
      </c>
      <c r="AD15">
        <f t="shared" si="1"/>
        <v>0</v>
      </c>
      <c r="AE15">
        <f t="shared" si="1"/>
        <v>0</v>
      </c>
      <c r="AF15">
        <f t="shared" si="1"/>
        <v>0</v>
      </c>
      <c r="AG15">
        <f t="shared" si="1"/>
        <v>0</v>
      </c>
      <c r="AH15">
        <f t="shared" si="1"/>
        <v>25</v>
      </c>
      <c r="AI15">
        <f t="shared" si="1"/>
        <v>50</v>
      </c>
    </row>
    <row r="16" spans="2:38" x14ac:dyDescent="0.3">
      <c r="E16" s="11" t="s">
        <v>11</v>
      </c>
      <c r="F16">
        <f ca="1">(F16/$C$10)*$C$4+G13</f>
        <v>0</v>
      </c>
      <c r="G16">
        <f t="shared" ref="G16:AJ16" ca="1" si="2">(G16/$C$10)*$C$4+H13</f>
        <v>0</v>
      </c>
      <c r="H16">
        <f t="shared" ca="1" si="2"/>
        <v>0</v>
      </c>
      <c r="I16">
        <f t="shared" ca="1" si="2"/>
        <v>0</v>
      </c>
      <c r="J16">
        <f t="shared" ca="1" si="2"/>
        <v>0</v>
      </c>
      <c r="K16">
        <f t="shared" ca="1" si="2"/>
        <v>0</v>
      </c>
      <c r="L16">
        <f t="shared" ca="1" si="2"/>
        <v>0</v>
      </c>
      <c r="M16">
        <f t="shared" ca="1" si="2"/>
        <v>0</v>
      </c>
      <c r="N16">
        <f t="shared" ca="1" si="2"/>
        <v>0</v>
      </c>
      <c r="O16">
        <f t="shared" ca="1" si="2"/>
        <v>0</v>
      </c>
      <c r="P16">
        <f t="shared" ca="1" si="2"/>
        <v>0</v>
      </c>
      <c r="Q16">
        <f t="shared" ca="1" si="2"/>
        <v>0</v>
      </c>
      <c r="R16">
        <f t="shared" ca="1" si="2"/>
        <v>0</v>
      </c>
      <c r="S16">
        <f t="shared" ca="1" si="2"/>
        <v>0</v>
      </c>
      <c r="T16">
        <f t="shared" ca="1" si="2"/>
        <v>0</v>
      </c>
      <c r="U16">
        <f t="shared" ca="1" si="2"/>
        <v>0</v>
      </c>
      <c r="V16">
        <f t="shared" ca="1" si="2"/>
        <v>0</v>
      </c>
      <c r="W16">
        <f t="shared" ca="1" si="2"/>
        <v>0</v>
      </c>
      <c r="X16">
        <f t="shared" ca="1" si="2"/>
        <v>0</v>
      </c>
      <c r="Y16">
        <f t="shared" ca="1" si="2"/>
        <v>0</v>
      </c>
      <c r="Z16">
        <f t="shared" ca="1" si="2"/>
        <v>0</v>
      </c>
      <c r="AA16">
        <f t="shared" ca="1" si="2"/>
        <v>0</v>
      </c>
      <c r="AB16">
        <f t="shared" ca="1" si="2"/>
        <v>0</v>
      </c>
      <c r="AC16">
        <f t="shared" ca="1" si="2"/>
        <v>0</v>
      </c>
      <c r="AD16">
        <f t="shared" ca="1" si="2"/>
        <v>0</v>
      </c>
      <c r="AE16">
        <f t="shared" ca="1" si="2"/>
        <v>0</v>
      </c>
      <c r="AF16">
        <f t="shared" ca="1" si="2"/>
        <v>0</v>
      </c>
      <c r="AG16">
        <f t="shared" ca="1" si="2"/>
        <v>0</v>
      </c>
      <c r="AH16">
        <f t="shared" ca="1" si="2"/>
        <v>0</v>
      </c>
      <c r="AI16">
        <f t="shared" ca="1" si="2"/>
        <v>0</v>
      </c>
      <c r="AJ16">
        <f t="shared" ca="1" si="2"/>
        <v>0</v>
      </c>
    </row>
  </sheetData>
  <conditionalFormatting sqref="F13:AJ13">
    <cfRule type="colorScale" priority="1">
      <colorScale>
        <cfvo type="min"/>
        <cfvo type="percentile" val="50"/>
        <cfvo type="max"/>
        <color theme="4" tint="-0.499984740745262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ГУ 1 рода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yanoshi</dc:creator>
  <cp:lastModifiedBy>yanoshi</cp:lastModifiedBy>
  <dcterms:created xsi:type="dcterms:W3CDTF">2015-06-05T18:19:34Z</dcterms:created>
  <dcterms:modified xsi:type="dcterms:W3CDTF">2021-09-27T10:23:28Z</dcterms:modified>
</cp:coreProperties>
</file>